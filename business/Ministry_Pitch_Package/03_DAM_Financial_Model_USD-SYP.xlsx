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ions" sheetId="1" state="visible" r:id="rId3"/>
    <sheet name="Summary &amp; Scenari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<sst xmlns="http://schemas.openxmlformats.org/spreadsheetml/2006/main" count="110" uniqueCount="90">
  <si>
    <r>
      <rPr>
        <b val="true"/>
        <sz val="15"/>
        <color rgb="FF1B4332"/>
        <rFont val="DejaVu Sans"/>
        <family val="2"/>
      </rPr>
      <t xml:space="preserve">دمشق ترانزيت — النموذج المالي  </t>
    </r>
    <r>
      <rPr>
        <b val="true"/>
        <sz val="15"/>
        <color rgb="FF1B4332"/>
        <rFont val="IBM Plex Sans"/>
        <family val="0"/>
        <charset val="1"/>
      </rPr>
      <t xml:space="preserve">|  Damascus Transit — Financial Model</t>
    </r>
  </si>
  <si>
    <t xml:space="preserve">USD model (contract currency). New-SYP shown at FX below (post-Jan-2026 redenomination; ~June 2026; indicative). Blue = input you can change; black = formula.</t>
  </si>
  <si>
    <r>
      <rPr>
        <b val="true"/>
        <sz val="11"/>
        <color rgb="FFFFFFFF"/>
        <rFont val="DejaVu Sans"/>
        <family val="2"/>
      </rPr>
      <t xml:space="preserve">البند  </t>
    </r>
    <r>
      <rPr>
        <b val="true"/>
        <sz val="11"/>
        <color rgb="FFFFFFFF"/>
        <rFont val="IBM Plex Sans"/>
        <family val="0"/>
        <charset val="1"/>
      </rPr>
      <t xml:space="preserve">/  Item</t>
    </r>
  </si>
  <si>
    <r>
      <rPr>
        <b val="true"/>
        <sz val="11"/>
        <color rgb="FFFFFFFF"/>
        <rFont val="DejaVu Sans"/>
        <family val="2"/>
      </rPr>
      <t xml:space="preserve">وحدة</t>
    </r>
    <r>
      <rPr>
        <b val="true"/>
        <sz val="11"/>
        <color rgb="FFFFFFFF"/>
        <rFont val="IBM Plex Sans"/>
        <family val="0"/>
        <charset val="1"/>
      </rPr>
      <t xml:space="preserve">/Unit</t>
    </r>
  </si>
  <si>
    <t xml:space="preserve">May'26</t>
  </si>
  <si>
    <t xml:space="preserve">Jun'26</t>
  </si>
  <si>
    <t xml:space="preserve">Jul'26</t>
  </si>
  <si>
    <t xml:space="preserve">Aug'26</t>
  </si>
  <si>
    <t xml:space="preserve">Sep'26</t>
  </si>
  <si>
    <t xml:space="preserve">Oct'26</t>
  </si>
  <si>
    <t xml:space="preserve">Nov'26</t>
  </si>
  <si>
    <t xml:space="preserve">Dec'26</t>
  </si>
  <si>
    <t xml:space="preserve">Jan'27</t>
  </si>
  <si>
    <t xml:space="preserve">Feb'27</t>
  </si>
  <si>
    <t xml:space="preserve">Mar'27</t>
  </si>
  <si>
    <t xml:space="preserve">Apr'27</t>
  </si>
  <si>
    <r>
      <rPr>
        <b val="true"/>
        <sz val="11"/>
        <color rgb="FFFFFFFF"/>
        <rFont val="DejaVu Sans"/>
        <family val="2"/>
      </rPr>
      <t xml:space="preserve">السنة </t>
    </r>
    <r>
      <rPr>
        <b val="true"/>
        <sz val="11"/>
        <color rgb="FFFFFFFF"/>
        <rFont val="IBM Plex Sans"/>
        <family val="0"/>
        <charset val="1"/>
      </rPr>
      <t xml:space="preserve">1 / Yr 1</t>
    </r>
  </si>
  <si>
    <r>
      <rPr>
        <sz val="11"/>
        <color rgb="FF000000"/>
        <rFont val="DejaVu Sans"/>
        <family val="2"/>
      </rPr>
      <t xml:space="preserve">سعر الصرف </t>
    </r>
    <r>
      <rPr>
        <sz val="11"/>
        <color rgb="FF000000"/>
        <rFont val="IBM Plex Sans"/>
        <family val="0"/>
        <charset val="1"/>
      </rPr>
      <t xml:space="preserve">(</t>
    </r>
    <r>
      <rPr>
        <sz val="11"/>
        <color rgb="FF000000"/>
        <rFont val="DejaVu Sans"/>
        <family val="2"/>
      </rPr>
      <t xml:space="preserve">ل</t>
    </r>
    <r>
      <rPr>
        <sz val="11"/>
        <color rgb="FF000000"/>
        <rFont val="IBM Plex Sans"/>
        <family val="0"/>
        <charset val="1"/>
      </rPr>
      <t xml:space="preserve">.</t>
    </r>
    <r>
      <rPr>
        <sz val="11"/>
        <color rgb="FF000000"/>
        <rFont val="DejaVu Sans"/>
        <family val="2"/>
      </rPr>
      <t xml:space="preserve">س جديدة</t>
    </r>
    <r>
      <rPr>
        <sz val="11"/>
        <color rgb="FF000000"/>
        <rFont val="IBM Plex Sans"/>
        <family val="0"/>
        <charset val="1"/>
      </rPr>
      <t xml:space="preserve">/</t>
    </r>
    <r>
      <rPr>
        <sz val="11"/>
        <color rgb="FF000000"/>
        <rFont val="DejaVu Sans"/>
        <family val="2"/>
      </rPr>
      <t xml:space="preserve">دولار</t>
    </r>
    <r>
      <rPr>
        <sz val="11"/>
        <color rgb="FF000000"/>
        <rFont val="IBM Plex Sans"/>
        <family val="0"/>
        <charset val="1"/>
      </rPr>
      <t xml:space="preserve">) / FX (new SYP per USD)</t>
    </r>
  </si>
  <si>
    <r>
      <rPr>
        <b val="true"/>
        <sz val="11"/>
        <color rgb="FF000000"/>
        <rFont val="DejaVu Sans"/>
        <family val="2"/>
      </rPr>
      <t xml:space="preserve">المُدخلات </t>
    </r>
    <r>
      <rPr>
        <b val="true"/>
        <sz val="11"/>
        <color rgb="FF000000"/>
        <rFont val="IBM Plex Sans"/>
        <family val="0"/>
        <charset val="1"/>
      </rPr>
      <t xml:space="preserve">/ INPUTS</t>
    </r>
  </si>
  <si>
    <r>
      <rPr>
        <sz val="11"/>
        <color rgb="FF000000"/>
        <rFont val="DejaVu Sans"/>
        <family val="2"/>
      </rPr>
      <t xml:space="preserve">المركبات المتعاقدة </t>
    </r>
    <r>
      <rPr>
        <sz val="11"/>
        <color rgb="FF000000"/>
        <rFont val="IBM Plex Sans"/>
        <family val="0"/>
        <charset val="1"/>
      </rPr>
      <t xml:space="preserve">/ Vehicles under contract</t>
    </r>
  </si>
  <si>
    <t xml:space="preserve">#</t>
  </si>
  <si>
    <r>
      <rPr>
        <sz val="11"/>
        <color rgb="FF000000"/>
        <rFont val="DejaVu Sans"/>
        <family val="2"/>
      </rPr>
      <t xml:space="preserve">رسم المنصّة الحكومي </t>
    </r>
    <r>
      <rPr>
        <sz val="11"/>
        <color rgb="FF000000"/>
        <rFont val="IBM Plex Sans"/>
        <family val="0"/>
        <charset val="1"/>
      </rPr>
      <t xml:space="preserve">/ Government platform fee</t>
    </r>
  </si>
  <si>
    <t xml:space="preserve">$/mo</t>
  </si>
  <si>
    <r>
      <rPr>
        <sz val="11"/>
        <color rgb="FF000000"/>
        <rFont val="DejaVu Sans"/>
        <family val="2"/>
      </rPr>
      <t xml:space="preserve">عدد المشغّلين </t>
    </r>
    <r>
      <rPr>
        <sz val="11"/>
        <color rgb="FF000000"/>
        <rFont val="IBM Plex Sans"/>
        <family val="0"/>
        <charset val="1"/>
      </rPr>
      <t xml:space="preserve">(SaaS) / Operators on SaaS</t>
    </r>
  </si>
  <si>
    <r>
      <rPr>
        <sz val="11"/>
        <color rgb="FF000000"/>
        <rFont val="DejaVu Sans"/>
        <family val="2"/>
      </rPr>
      <t xml:space="preserve">سعر اشتراك المشغّل </t>
    </r>
    <r>
      <rPr>
        <sz val="11"/>
        <color rgb="FF000000"/>
        <rFont val="IBM Plex Sans"/>
        <family val="0"/>
        <charset val="1"/>
      </rPr>
      <t xml:space="preserve">/ SaaS price per operator</t>
    </r>
  </si>
  <si>
    <r>
      <rPr>
        <sz val="11"/>
        <color rgb="FF000000"/>
        <rFont val="DejaVu Sans"/>
        <family val="2"/>
      </rPr>
      <t xml:space="preserve">ترخيص البيانات </t>
    </r>
    <r>
      <rPr>
        <sz val="11"/>
        <color rgb="FF000000"/>
        <rFont val="IBM Plex Sans"/>
        <family val="0"/>
        <charset val="1"/>
      </rPr>
      <t xml:space="preserve">/ Data licensing</t>
    </r>
  </si>
  <si>
    <r>
      <rPr>
        <sz val="11"/>
        <color rgb="FF000000"/>
        <rFont val="DejaVu Sans"/>
        <family val="2"/>
      </rPr>
      <t xml:space="preserve">كلفة متغيّرة لكل مركبة </t>
    </r>
    <r>
      <rPr>
        <sz val="11"/>
        <color rgb="FF000000"/>
        <rFont val="IBM Plex Sans"/>
        <family val="0"/>
        <charset val="1"/>
      </rPr>
      <t xml:space="preserve">/ Variable cost per vehicle</t>
    </r>
  </si>
  <si>
    <r>
      <rPr>
        <sz val="11"/>
        <color rgb="FF000000"/>
        <rFont val="DejaVu Sans"/>
        <family val="2"/>
      </rPr>
      <t xml:space="preserve">البنية السحابية </t>
    </r>
    <r>
      <rPr>
        <sz val="11"/>
        <color rgb="FF000000"/>
        <rFont val="IBM Plex Sans"/>
        <family val="0"/>
        <charset val="1"/>
      </rPr>
      <t xml:space="preserve">/ Cloud infrastructure</t>
    </r>
  </si>
  <si>
    <r>
      <rPr>
        <sz val="11"/>
        <color rgb="FF000000"/>
        <rFont val="DejaVu Sans"/>
        <family val="2"/>
      </rPr>
      <t xml:space="preserve">مكتب وتشغيل </t>
    </r>
    <r>
      <rPr>
        <sz val="11"/>
        <color rgb="FF000000"/>
        <rFont val="IBM Plex Sans"/>
        <family val="0"/>
        <charset val="1"/>
      </rPr>
      <t xml:space="preserve">/ Office &amp; operations</t>
    </r>
  </si>
  <si>
    <r>
      <rPr>
        <sz val="11"/>
        <color rgb="FF000000"/>
        <rFont val="DejaVu Sans"/>
        <family val="2"/>
      </rPr>
      <t xml:space="preserve">عتاد </t>
    </r>
    <r>
      <rPr>
        <sz val="11"/>
        <color rgb="FF000000"/>
        <rFont val="IBM Plex Sans"/>
        <family val="0"/>
        <charset val="1"/>
      </rPr>
      <t xml:space="preserve">GPS (</t>
    </r>
    <r>
      <rPr>
        <sz val="11"/>
        <color rgb="FF000000"/>
        <rFont val="DejaVu Sans"/>
        <family val="2"/>
      </rPr>
      <t xml:space="preserve">لمرة واحدة</t>
    </r>
    <r>
      <rPr>
        <sz val="11"/>
        <color rgb="FF000000"/>
        <rFont val="IBM Plex Sans"/>
        <family val="0"/>
        <charset val="1"/>
      </rPr>
      <t xml:space="preserve">) / GPS hardware (one-time)</t>
    </r>
  </si>
  <si>
    <t xml:space="preserve">$</t>
  </si>
  <si>
    <r>
      <rPr>
        <b val="true"/>
        <sz val="11"/>
        <color rgb="FF000000"/>
        <rFont val="DejaVu Sans"/>
        <family val="2"/>
      </rPr>
      <t xml:space="preserve">الإيرادات </t>
    </r>
    <r>
      <rPr>
        <b val="true"/>
        <sz val="11"/>
        <color rgb="FF000000"/>
        <rFont val="IBM Plex Sans"/>
        <family val="0"/>
        <charset val="1"/>
      </rPr>
      <t xml:space="preserve">/ REVENUE</t>
    </r>
  </si>
  <si>
    <r>
      <rPr>
        <sz val="11"/>
        <color rgb="FF000000"/>
        <rFont val="DejaVu Sans"/>
        <family val="2"/>
      </rPr>
      <t xml:space="preserve">عقد حكومي </t>
    </r>
    <r>
      <rPr>
        <sz val="11"/>
        <color rgb="FF000000"/>
        <rFont val="IBM Plex Sans"/>
        <family val="0"/>
        <charset val="1"/>
      </rPr>
      <t xml:space="preserve">/ Government contract</t>
    </r>
  </si>
  <si>
    <r>
      <rPr>
        <sz val="11"/>
        <color rgb="FF000000"/>
        <rFont val="DejaVu Sans"/>
        <family val="2"/>
      </rPr>
      <t xml:space="preserve">اشتراكات المشغّلين </t>
    </r>
    <r>
      <rPr>
        <sz val="11"/>
        <color rgb="FF000000"/>
        <rFont val="IBM Plex Sans"/>
        <family val="0"/>
        <charset val="1"/>
      </rPr>
      <t xml:space="preserve">/ Operator SaaS</t>
    </r>
  </si>
  <si>
    <r>
      <rPr>
        <b val="true"/>
        <sz val="11"/>
        <color rgb="FF000000"/>
        <rFont val="DejaVu Sans"/>
        <family val="2"/>
      </rPr>
      <t xml:space="preserve">إجمالي الإيراد الشهري </t>
    </r>
    <r>
      <rPr>
        <b val="true"/>
        <sz val="11"/>
        <color rgb="FF000000"/>
        <rFont val="IBM Plex Sans"/>
        <family val="0"/>
        <charset val="1"/>
      </rPr>
      <t xml:space="preserve">/ Total monthly revenue</t>
    </r>
  </si>
  <si>
    <r>
      <rPr>
        <sz val="11"/>
        <color rgb="FF000000"/>
        <rFont val="DejaVu Sans"/>
        <family val="2"/>
      </rPr>
      <t xml:space="preserve">الإيراد التراكمي </t>
    </r>
    <r>
      <rPr>
        <sz val="11"/>
        <color rgb="FF000000"/>
        <rFont val="IBM Plex Sans"/>
        <family val="0"/>
        <charset val="1"/>
      </rPr>
      <t xml:space="preserve">/ Cumulative revenue</t>
    </r>
  </si>
  <si>
    <r>
      <rPr>
        <b val="true"/>
        <sz val="11"/>
        <color rgb="FF000000"/>
        <rFont val="DejaVu Sans"/>
        <family val="2"/>
      </rPr>
      <t xml:space="preserve">التكاليف </t>
    </r>
    <r>
      <rPr>
        <b val="true"/>
        <sz val="11"/>
        <color rgb="FF000000"/>
        <rFont val="IBM Plex Sans"/>
        <family val="0"/>
        <charset val="1"/>
      </rPr>
      <t xml:space="preserve">/ COSTS</t>
    </r>
  </si>
  <si>
    <r>
      <rPr>
        <sz val="11"/>
        <color rgb="FF000000"/>
        <rFont val="DejaVu Sans"/>
        <family val="2"/>
      </rPr>
      <t xml:space="preserve">كلفة متغيّرة </t>
    </r>
    <r>
      <rPr>
        <sz val="11"/>
        <color rgb="FF000000"/>
        <rFont val="IBM Plex Sans"/>
        <family val="0"/>
        <charset val="1"/>
      </rPr>
      <t xml:space="preserve">/ Variable cost</t>
    </r>
  </si>
  <si>
    <r>
      <rPr>
        <sz val="11"/>
        <color rgb="FF000000"/>
        <rFont val="DejaVu Sans"/>
        <family val="2"/>
      </rPr>
      <t xml:space="preserve">بنية سحابية </t>
    </r>
    <r>
      <rPr>
        <sz val="11"/>
        <color rgb="FF000000"/>
        <rFont val="IBM Plex Sans"/>
        <family val="0"/>
        <charset val="1"/>
      </rPr>
      <t xml:space="preserve">/ Infrastructure</t>
    </r>
  </si>
  <si>
    <r>
      <rPr>
        <sz val="11"/>
        <color rgb="FF000000"/>
        <rFont val="DejaVu Sans"/>
        <family val="2"/>
      </rPr>
      <t xml:space="preserve">مكتب وتشغيل </t>
    </r>
    <r>
      <rPr>
        <sz val="11"/>
        <color rgb="FF000000"/>
        <rFont val="IBM Plex Sans"/>
        <family val="0"/>
        <charset val="1"/>
      </rPr>
      <t xml:space="preserve">/ Office &amp; ops</t>
    </r>
  </si>
  <si>
    <r>
      <rPr>
        <sz val="11"/>
        <color rgb="FF000000"/>
        <rFont val="DejaVu Sans"/>
        <family val="2"/>
      </rPr>
      <t xml:space="preserve">عتاد </t>
    </r>
    <r>
      <rPr>
        <sz val="11"/>
        <color rgb="FF000000"/>
        <rFont val="IBM Plex Sans"/>
        <family val="0"/>
        <charset val="1"/>
      </rPr>
      <t xml:space="preserve">(</t>
    </r>
    <r>
      <rPr>
        <sz val="11"/>
        <color rgb="FF000000"/>
        <rFont val="DejaVu Sans"/>
        <family val="2"/>
      </rPr>
      <t xml:space="preserve">لمرة واحدة</t>
    </r>
    <r>
      <rPr>
        <sz val="11"/>
        <color rgb="FF000000"/>
        <rFont val="IBM Plex Sans"/>
        <family val="0"/>
        <charset val="1"/>
      </rPr>
      <t xml:space="preserve">) / Hardware (one-time)</t>
    </r>
  </si>
  <si>
    <r>
      <rPr>
        <b val="true"/>
        <sz val="11"/>
        <color rgb="FF000000"/>
        <rFont val="DejaVu Sans"/>
        <family val="2"/>
      </rPr>
      <t xml:space="preserve">إجمالي التكلفة الشهرية </t>
    </r>
    <r>
      <rPr>
        <b val="true"/>
        <sz val="11"/>
        <color rgb="FF000000"/>
        <rFont val="IBM Plex Sans"/>
        <family val="0"/>
        <charset val="1"/>
      </rPr>
      <t xml:space="preserve">/ Total monthly cost</t>
    </r>
  </si>
  <si>
    <r>
      <rPr>
        <b val="true"/>
        <sz val="11"/>
        <color rgb="FF000000"/>
        <rFont val="DejaVu Sans"/>
        <family val="2"/>
      </rPr>
      <t xml:space="preserve">الربح </t>
    </r>
    <r>
      <rPr>
        <b val="true"/>
        <sz val="11"/>
        <color rgb="FF000000"/>
        <rFont val="IBM Plex Sans"/>
        <family val="0"/>
        <charset val="1"/>
      </rPr>
      <t xml:space="preserve">/ PROFIT</t>
    </r>
  </si>
  <si>
    <r>
      <rPr>
        <b val="true"/>
        <sz val="11"/>
        <color rgb="FF000000"/>
        <rFont val="DejaVu Sans"/>
        <family val="2"/>
      </rPr>
      <t xml:space="preserve">الربح الإجمالي </t>
    </r>
    <r>
      <rPr>
        <b val="true"/>
        <sz val="11"/>
        <color rgb="FF000000"/>
        <rFont val="IBM Plex Sans"/>
        <family val="0"/>
        <charset val="1"/>
      </rPr>
      <t xml:space="preserve">/ Gross profit (rev−var−infra)</t>
    </r>
  </si>
  <si>
    <r>
      <rPr>
        <sz val="11"/>
        <color rgb="FF000000"/>
        <rFont val="DejaVu Sans"/>
        <family val="2"/>
      </rPr>
      <t xml:space="preserve">هامش الربح الإجمالي </t>
    </r>
    <r>
      <rPr>
        <sz val="11"/>
        <color rgb="FF000000"/>
        <rFont val="IBM Plex Sans"/>
        <family val="0"/>
        <charset val="1"/>
      </rPr>
      <t xml:space="preserve">/ Gross margin</t>
    </r>
  </si>
  <si>
    <t xml:space="preserve">%</t>
  </si>
  <si>
    <r>
      <rPr>
        <b val="true"/>
        <sz val="11"/>
        <color rgb="FF000000"/>
        <rFont val="DejaVu Sans"/>
        <family val="2"/>
      </rPr>
      <t xml:space="preserve">الربح التشغيلي </t>
    </r>
    <r>
      <rPr>
        <b val="true"/>
        <sz val="11"/>
        <color rgb="FF000000"/>
        <rFont val="IBM Plex Sans"/>
        <family val="0"/>
        <charset val="1"/>
      </rPr>
      <t xml:space="preserve">/ Operating profit (rev−total cost)</t>
    </r>
  </si>
  <si>
    <r>
      <rPr>
        <b val="true"/>
        <sz val="11"/>
        <color rgb="FF000000"/>
        <rFont val="DejaVu Sans"/>
        <family val="2"/>
      </rPr>
      <t xml:space="preserve">الربح التشغيلي التراكمي </t>
    </r>
    <r>
      <rPr>
        <b val="true"/>
        <sz val="11"/>
        <color rgb="FF000000"/>
        <rFont val="IBM Plex Sans"/>
        <family val="0"/>
        <charset val="1"/>
      </rPr>
      <t xml:space="preserve">/ Cumulative operating profit</t>
    </r>
  </si>
  <si>
    <r>
      <rPr>
        <b val="true"/>
        <sz val="15"/>
        <color rgb="FF1B4332"/>
        <rFont val="DejaVu Sans"/>
        <family val="2"/>
      </rPr>
      <t xml:space="preserve">ملخّص مالي والسيناريوهات  </t>
    </r>
    <r>
      <rPr>
        <b val="true"/>
        <sz val="15"/>
        <color rgb="FF1B4332"/>
        <rFont val="IBM Plex Sans"/>
        <family val="0"/>
        <charset val="1"/>
      </rPr>
      <t xml:space="preserve">|  Financial Summary &amp; Scenarios</t>
    </r>
  </si>
  <si>
    <t xml:space="preserve">Figures link to the Projections sheet. USD primary; SYP indicative at the FX on Projections.</t>
  </si>
  <si>
    <r>
      <rPr>
        <b val="true"/>
        <sz val="11"/>
        <color rgb="FFFFFFFF"/>
        <rFont val="DejaVu Sans"/>
        <family val="2"/>
      </rPr>
      <t xml:space="preserve">بند </t>
    </r>
    <r>
      <rPr>
        <b val="true"/>
        <sz val="11"/>
        <color rgb="FFFFFFFF"/>
        <rFont val="IBM Plex Sans"/>
        <family val="0"/>
        <charset val="1"/>
      </rPr>
      <t xml:space="preserve">/ Metric</t>
    </r>
  </si>
  <si>
    <t xml:space="preserve">USD</t>
  </si>
  <si>
    <t xml:space="preserve">SYP</t>
  </si>
  <si>
    <r>
      <rPr>
        <b val="true"/>
        <sz val="11"/>
        <color rgb="FFFFFFFF"/>
        <rFont val="DejaVu Sans"/>
        <family val="2"/>
      </rPr>
      <t xml:space="preserve">ملاحظة </t>
    </r>
    <r>
      <rPr>
        <b val="true"/>
        <sz val="11"/>
        <color rgb="FFFFFFFF"/>
        <rFont val="IBM Plex Sans"/>
        <family val="0"/>
        <charset val="1"/>
      </rPr>
      <t xml:space="preserve">/ Note</t>
    </r>
  </si>
  <si>
    <r>
      <rPr>
        <b val="true"/>
        <sz val="11"/>
        <color rgb="FF000000"/>
        <rFont val="DejaVu Sans"/>
        <family val="2"/>
      </rPr>
      <t xml:space="preserve">إيراد السنة الأولى </t>
    </r>
    <r>
      <rPr>
        <b val="true"/>
        <sz val="11"/>
        <color rgb="FF000000"/>
        <rFont val="IBM Plex Sans"/>
        <family val="0"/>
        <charset val="1"/>
      </rPr>
      <t xml:space="preserve">/ Year-1 revenue</t>
    </r>
  </si>
  <si>
    <t xml:space="preserve">Base scenario</t>
  </si>
  <si>
    <r>
      <rPr>
        <sz val="11"/>
        <color rgb="FF000000"/>
        <rFont val="DejaVu Sans"/>
        <family val="2"/>
      </rPr>
      <t xml:space="preserve">تكلفة السنة الأولى </t>
    </r>
    <r>
      <rPr>
        <sz val="11"/>
        <color rgb="FF000000"/>
        <rFont val="IBM Plex Sans"/>
        <family val="0"/>
        <charset val="1"/>
      </rPr>
      <t xml:space="preserve">/ Year-1 cost</t>
    </r>
  </si>
  <si>
    <r>
      <rPr>
        <b val="true"/>
        <sz val="11"/>
        <color rgb="FF000000"/>
        <rFont val="DejaVu Sans"/>
        <family val="2"/>
      </rPr>
      <t xml:space="preserve">الربح التشغيلي السنة </t>
    </r>
    <r>
      <rPr>
        <b val="true"/>
        <sz val="11"/>
        <color rgb="FF000000"/>
        <rFont val="IBM Plex Sans"/>
        <family val="0"/>
        <charset val="1"/>
      </rPr>
      <t xml:space="preserve">1 / Year-1 operating profit</t>
    </r>
  </si>
  <si>
    <t xml:space="preserve">≈ after one-time hardware</t>
  </si>
  <si>
    <r>
      <rPr>
        <sz val="11"/>
        <color rgb="FF000000"/>
        <rFont val="DejaVu Sans"/>
        <family val="2"/>
      </rPr>
      <t xml:space="preserve">هامش الربح الإجمالي </t>
    </r>
    <r>
      <rPr>
        <sz val="11"/>
        <color rgb="FF000000"/>
        <rFont val="IBM Plex Sans"/>
        <family val="0"/>
        <charset val="1"/>
      </rPr>
      <t xml:space="preserve">(</t>
    </r>
    <r>
      <rPr>
        <sz val="11"/>
        <color rgb="FF000000"/>
        <rFont val="DejaVu Sans"/>
        <family val="2"/>
      </rPr>
      <t xml:space="preserve">الشهر </t>
    </r>
    <r>
      <rPr>
        <sz val="11"/>
        <color rgb="FF000000"/>
        <rFont val="IBM Plex Sans"/>
        <family val="0"/>
        <charset val="1"/>
      </rPr>
      <t xml:space="preserve">12) / Gross margin (M12)</t>
    </r>
  </si>
  <si>
    <r>
      <rPr>
        <sz val="11"/>
        <color rgb="FF000000"/>
        <rFont val="DejaVu Sans"/>
        <family val="2"/>
      </rPr>
      <t xml:space="preserve">إيراد متكرّر شهري </t>
    </r>
    <r>
      <rPr>
        <sz val="11"/>
        <color rgb="FF000000"/>
        <rFont val="IBM Plex Sans"/>
        <family val="0"/>
        <charset val="1"/>
      </rPr>
      <t xml:space="preserve">(</t>
    </r>
    <r>
      <rPr>
        <sz val="11"/>
        <color rgb="FF000000"/>
        <rFont val="DejaVu Sans"/>
        <family val="2"/>
      </rPr>
      <t xml:space="preserve">الشهر </t>
    </r>
    <r>
      <rPr>
        <sz val="11"/>
        <color rgb="FF000000"/>
        <rFont val="IBM Plex Sans"/>
        <family val="0"/>
        <charset val="1"/>
      </rPr>
      <t xml:space="preserve">12) / MRR (Month 12)</t>
    </r>
  </si>
  <si>
    <r>
      <rPr>
        <sz val="11"/>
        <color rgb="FF000000"/>
        <rFont val="DejaVu Sans"/>
        <family val="2"/>
      </rPr>
      <t xml:space="preserve">المركبات </t>
    </r>
    <r>
      <rPr>
        <sz val="11"/>
        <color rgb="FF000000"/>
        <rFont val="IBM Plex Sans"/>
        <family val="0"/>
        <charset val="1"/>
      </rPr>
      <t xml:space="preserve">(</t>
    </r>
    <r>
      <rPr>
        <sz val="11"/>
        <color rgb="FF000000"/>
        <rFont val="DejaVu Sans"/>
        <family val="2"/>
      </rPr>
      <t xml:space="preserve">الشهر </t>
    </r>
    <r>
      <rPr>
        <sz val="11"/>
        <color rgb="FF000000"/>
        <rFont val="IBM Plex Sans"/>
        <family val="0"/>
        <charset val="1"/>
      </rPr>
      <t xml:space="preserve">12) / Vehicles (Month 12)</t>
    </r>
  </si>
  <si>
    <r>
      <rPr>
        <b val="true"/>
        <sz val="11"/>
        <color rgb="FFFFFFFF"/>
        <rFont val="DejaVu Sans"/>
        <family val="2"/>
      </rPr>
      <t xml:space="preserve">سيناريو </t>
    </r>
    <r>
      <rPr>
        <b val="true"/>
        <sz val="11"/>
        <color rgb="FFFFFFFF"/>
        <rFont val="IBM Plex Sans"/>
        <family val="0"/>
        <charset val="1"/>
      </rPr>
      <t xml:space="preserve">12 </t>
    </r>
    <r>
      <rPr>
        <b val="true"/>
        <sz val="11"/>
        <color rgb="FFFFFFFF"/>
        <rFont val="DejaVu Sans"/>
        <family val="2"/>
      </rPr>
      <t xml:space="preserve">شهراً </t>
    </r>
    <r>
      <rPr>
        <b val="true"/>
        <sz val="11"/>
        <color rgb="FFFFFFFF"/>
        <rFont val="IBM Plex Sans"/>
        <family val="0"/>
        <charset val="1"/>
      </rPr>
      <t xml:space="preserve">/ 12-Month Scenario</t>
    </r>
  </si>
  <si>
    <r>
      <rPr>
        <b val="true"/>
        <sz val="11"/>
        <color rgb="FFFFFFFF"/>
        <rFont val="DejaVu Sans"/>
        <family val="2"/>
      </rPr>
      <t xml:space="preserve">الإيراد </t>
    </r>
    <r>
      <rPr>
        <b val="true"/>
        <sz val="11"/>
        <color rgb="FFFFFFFF"/>
        <rFont val="IBM Plex Sans"/>
        <family val="0"/>
        <charset val="1"/>
      </rPr>
      <t xml:space="preserve">USD</t>
    </r>
  </si>
  <si>
    <t xml:space="preserve">≈ SYP</t>
  </si>
  <si>
    <r>
      <rPr>
        <b val="true"/>
        <sz val="11"/>
        <color rgb="FFFFFFFF"/>
        <rFont val="DejaVu Sans"/>
        <family val="2"/>
      </rPr>
      <t xml:space="preserve">الوصف </t>
    </r>
    <r>
      <rPr>
        <b val="true"/>
        <sz val="11"/>
        <color rgb="FFFFFFFF"/>
        <rFont val="IBM Plex Sans"/>
        <family val="0"/>
        <charset val="1"/>
      </rPr>
      <t xml:space="preserve">/ Description</t>
    </r>
  </si>
  <si>
    <r>
      <rPr>
        <sz val="11"/>
        <color rgb="FF000000"/>
        <rFont val="DejaVu Sans"/>
        <family val="2"/>
      </rPr>
      <t xml:space="preserve">متحفّظ — تجربة فقط </t>
    </r>
    <r>
      <rPr>
        <sz val="11"/>
        <color rgb="FF000000"/>
        <rFont val="IBM Plex Sans"/>
        <family val="0"/>
        <charset val="1"/>
      </rPr>
      <t xml:space="preserve">/ Conservative — pilot only</t>
    </r>
  </si>
  <si>
    <t xml:space="preserve">50 vehicles × $500 × 6 months</t>
  </si>
  <si>
    <r>
      <rPr>
        <sz val="11"/>
        <color rgb="FF000000"/>
        <rFont val="DejaVu Sans"/>
        <family val="2"/>
      </rPr>
      <t xml:space="preserve">أساسي — تجربة </t>
    </r>
    <r>
      <rPr>
        <sz val="11"/>
        <color rgb="FF000000"/>
        <rFont val="IBM Plex Sans"/>
        <family val="0"/>
        <charset val="1"/>
      </rPr>
      <t xml:space="preserve">+ </t>
    </r>
    <r>
      <rPr>
        <sz val="11"/>
        <color rgb="FF000000"/>
        <rFont val="DejaVu Sans"/>
        <family val="2"/>
      </rPr>
      <t xml:space="preserve">المرحلة </t>
    </r>
    <r>
      <rPr>
        <sz val="11"/>
        <color rgb="FF000000"/>
        <rFont val="IBM Plex Sans"/>
        <family val="0"/>
        <charset val="1"/>
      </rPr>
      <t xml:space="preserve">2 / Base — pilot + Phase 2</t>
    </r>
  </si>
  <si>
    <t xml:space="preserve">Year-1 model (this workbook)</t>
  </si>
  <si>
    <r>
      <rPr>
        <sz val="11"/>
        <color rgb="FF000000"/>
        <rFont val="DejaVu Sans"/>
        <family val="2"/>
      </rPr>
      <t xml:space="preserve">متفائل </t>
    </r>
    <r>
      <rPr>
        <sz val="11"/>
        <color rgb="FF000000"/>
        <rFont val="IBM Plex Sans"/>
        <family val="0"/>
        <charset val="1"/>
      </rPr>
      <t xml:space="preserve">/ Optimistic</t>
    </r>
  </si>
  <si>
    <t xml:space="preserve">+ grant funding + faster Phase 2 + operators</t>
  </si>
  <si>
    <r>
      <rPr>
        <b val="true"/>
        <sz val="11"/>
        <color rgb="FFFFFFFF"/>
        <rFont val="DejaVu Sans"/>
        <family val="2"/>
      </rPr>
      <t xml:space="preserve">نظرة السنة </t>
    </r>
    <r>
      <rPr>
        <b val="true"/>
        <sz val="11"/>
        <color rgb="FFFFFFFF"/>
        <rFont val="IBM Plex Sans"/>
        <family val="0"/>
        <charset val="1"/>
      </rPr>
      <t xml:space="preserve">2 / Year-2 Outlook</t>
    </r>
  </si>
  <si>
    <t xml:space="preserve">القيمة</t>
  </si>
  <si>
    <r>
      <rPr>
        <b val="true"/>
        <sz val="11"/>
        <color rgb="FFFFFFFF"/>
        <rFont val="DejaVu Sans"/>
        <family val="2"/>
      </rPr>
      <t xml:space="preserve">المصدر </t>
    </r>
    <r>
      <rPr>
        <b val="true"/>
        <sz val="11"/>
        <color rgb="FFFFFFFF"/>
        <rFont val="IBM Plex Sans"/>
        <family val="0"/>
        <charset val="1"/>
      </rPr>
      <t xml:space="preserve">/ Basis</t>
    </r>
  </si>
  <si>
    <r>
      <rPr>
        <sz val="11"/>
        <color rgb="FF000000"/>
        <rFont val="DejaVu Sans"/>
        <family val="2"/>
      </rPr>
      <t xml:space="preserve">المركبات </t>
    </r>
    <r>
      <rPr>
        <sz val="11"/>
        <color rgb="FF000000"/>
        <rFont val="IBM Plex Sans"/>
        <family val="0"/>
        <charset val="1"/>
      </rPr>
      <t xml:space="preserve">(</t>
    </r>
    <r>
      <rPr>
        <sz val="11"/>
        <color rgb="FF000000"/>
        <rFont val="DejaVu Sans"/>
        <family val="2"/>
      </rPr>
      <t xml:space="preserve">الشهر </t>
    </r>
    <r>
      <rPr>
        <sz val="11"/>
        <color rgb="FF000000"/>
        <rFont val="IBM Plex Sans"/>
        <family val="0"/>
        <charset val="1"/>
      </rPr>
      <t xml:space="preserve">24) / Vehicles (Month 24)</t>
    </r>
  </si>
  <si>
    <t xml:space="preserve">Damascus full + Aleppo entry</t>
  </si>
  <si>
    <r>
      <rPr>
        <sz val="11"/>
        <color rgb="FF000000"/>
        <rFont val="DejaVu Sans"/>
        <family val="2"/>
      </rPr>
      <t xml:space="preserve">الإيراد السنوي </t>
    </r>
    <r>
      <rPr>
        <sz val="11"/>
        <color rgb="FF000000"/>
        <rFont val="IBM Plex Sans"/>
        <family val="0"/>
        <charset val="1"/>
      </rPr>
      <t xml:space="preserve">(</t>
    </r>
    <r>
      <rPr>
        <sz val="11"/>
        <color rgb="FF000000"/>
        <rFont val="DejaVu Sans"/>
        <family val="2"/>
      </rPr>
      <t xml:space="preserve">الشهر </t>
    </r>
    <r>
      <rPr>
        <sz val="11"/>
        <color rgb="FF000000"/>
        <rFont val="IBM Plex Sans"/>
        <family val="0"/>
        <charset val="1"/>
      </rPr>
      <t xml:space="preserve">24) / ARR (Month 24)</t>
    </r>
  </si>
  <si>
    <t xml:space="preserve">Gov + operator SaaS + data licensing</t>
  </si>
  <si>
    <r>
      <rPr>
        <b val="true"/>
        <sz val="11"/>
        <color rgb="FFFFFFFF"/>
        <rFont val="DejaVu Sans"/>
        <family val="2"/>
      </rPr>
      <t xml:space="preserve">اقتصاديات الوحدة </t>
    </r>
    <r>
      <rPr>
        <b val="true"/>
        <sz val="11"/>
        <color rgb="FFFFFFFF"/>
        <rFont val="IBM Plex Sans"/>
        <family val="0"/>
        <charset val="1"/>
      </rPr>
      <t xml:space="preserve">/ Unit Economics</t>
    </r>
  </si>
  <si>
    <r>
      <rPr>
        <sz val="11"/>
        <color rgb="FF000000"/>
        <rFont val="DejaVu Sans"/>
        <family val="2"/>
      </rPr>
      <t xml:space="preserve">الإيراد لكل مركبة شهرياً </t>
    </r>
    <r>
      <rPr>
        <sz val="11"/>
        <color rgb="FF000000"/>
        <rFont val="IBM Plex Sans"/>
        <family val="0"/>
        <charset val="1"/>
      </rPr>
      <t xml:space="preserve">/ Revenue per vehicle</t>
    </r>
  </si>
  <si>
    <t xml:space="preserve">$10–$50</t>
  </si>
  <si>
    <r>
      <rPr>
        <sz val="11"/>
        <color rgb="FF000000"/>
        <rFont val="DejaVu Sans"/>
        <family val="2"/>
      </rPr>
      <t xml:space="preserve">الكلفة لكل مركبة شهرياً </t>
    </r>
    <r>
      <rPr>
        <sz val="11"/>
        <color rgb="FF000000"/>
        <rFont val="IBM Plex Sans"/>
        <family val="0"/>
        <charset val="1"/>
      </rPr>
      <t xml:space="preserve">/ Cost per vehicle</t>
    </r>
  </si>
  <si>
    <t xml:space="preserve">≈ $2</t>
  </si>
  <si>
    <r>
      <rPr>
        <sz val="11"/>
        <color rgb="FF000000"/>
        <rFont val="DejaVu Sans"/>
        <family val="2"/>
      </rPr>
      <t xml:space="preserve">هامش إجمالي </t>
    </r>
    <r>
      <rPr>
        <sz val="11"/>
        <color rgb="FF000000"/>
        <rFont val="IBM Plex Sans"/>
        <family val="0"/>
        <charset val="1"/>
      </rPr>
      <t xml:space="preserve">/ Gross margin</t>
    </r>
  </si>
  <si>
    <t xml:space="preserve">80–96%</t>
  </si>
  <si>
    <r>
      <rPr>
        <sz val="11"/>
        <color rgb="FF000000"/>
        <rFont val="DejaVu Sans"/>
        <family val="2"/>
      </rPr>
      <t xml:space="preserve">نقطة التعادل </t>
    </r>
    <r>
      <rPr>
        <sz val="11"/>
        <color rgb="FF000000"/>
        <rFont val="IBM Plex Sans"/>
        <family val="0"/>
        <charset val="1"/>
      </rPr>
      <t xml:space="preserve">/ Break-even</t>
    </r>
  </si>
  <si>
    <t xml:space="preserve">~50 vehicles</t>
  </si>
  <si>
    <r>
      <rPr>
        <sz val="11"/>
        <color rgb="FF000000"/>
        <rFont val="DejaVu Sans"/>
        <family val="2"/>
      </rPr>
      <t xml:space="preserve">استرداد كلفة العتاد </t>
    </r>
    <r>
      <rPr>
        <sz val="11"/>
        <color rgb="FF000000"/>
        <rFont val="IBM Plex Sans"/>
        <family val="0"/>
        <charset val="1"/>
      </rPr>
      <t xml:space="preserve">/ Hardware payback</t>
    </r>
  </si>
  <si>
    <t xml:space="preserve">2–3 months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</si>
</sst>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#,##0;\(#,##0\);\-"/>
    <numFmt numFmtId="167" formatCode="[$$-409]#,##0;&quot;($&quot;#,##0\);\-"/>
    <numFmt numFmtId="168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B4332"/>
      <name val="DejaVu Sans"/>
      <family val="2"/>
    </font>
    <font>
      <b val="true"/>
      <sz val="15"/>
      <color rgb="FF1B4332"/>
      <name val="IBM Plex Sans"/>
      <family val="0"/>
      <charset val="1"/>
    </font>
    <font>
      <i val="true"/>
      <sz val="9"/>
      <color rgb="FF7A7060"/>
      <name val="IBM Plex Sans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IBM Plex Sans"/>
      <family val="0"/>
      <charset val="1"/>
    </font>
    <font>
      <sz val="11"/>
      <color rgb="FF000000"/>
      <name val="DejaVu Sans"/>
      <family val="2"/>
    </font>
    <font>
      <sz val="11"/>
      <color rgb="FF000000"/>
      <name val="IBM Plex Sans"/>
      <family val="0"/>
      <charset val="1"/>
    </font>
    <font>
      <sz val="11"/>
      <color rgb="FF0000FF"/>
      <name val="IBM Plex Sans"/>
      <family val="0"/>
      <charset val="1"/>
    </font>
    <font>
      <b val="true"/>
      <sz val="11"/>
      <color rgb="FF000000"/>
      <name val="DejaVu Sans"/>
      <family val="2"/>
    </font>
    <font>
      <b val="true"/>
      <sz val="11"/>
      <color rgb="FF000000"/>
      <name val="IBM Plex Sans"/>
      <family val="0"/>
      <charset val="1"/>
    </font>
    <font>
      <sz val="11"/>
      <color rgb="FF008000"/>
      <name val="IBM Plex Sans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B4332"/>
        <bgColor rgb="FF333300"/>
      </patternFill>
    </fill>
    <fill>
      <patternFill patternType="solid">
        <fgColor rgb="FFEFEDE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8D0"/>
      </left>
      <right style="thin">
        <color rgb="FFD8D8D0"/>
      </right>
      <top style="thin">
        <color rgb="FFD8D8D0"/>
      </top>
      <bottom style="thin">
        <color rgb="FFD8D8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8D0"/>
      <rgbColor rgb="FF878787"/>
      <rgbColor rgb="FF9999FF"/>
      <rgbColor rgb="FF993366"/>
      <rgbColor rgb="FFEFEDE4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7A7060"/>
      <rgbColor rgb="FF969696"/>
      <rgbColor rgb="FF003366"/>
      <rgbColor rgb="FF4F81BD"/>
      <rgbColor rgb="FF003300"/>
      <rgbColor rgb="FF333300"/>
      <rgbColor rgb="FF993300"/>
      <rgbColor rgb="FF993366"/>
      <rgbColor rgb="FF333399"/>
      <rgbColor rgb="FF1B4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Monthly Total Revenue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Projections!$C$4:$N$4</c:f>
              <c:strCache>
                <c:ptCount val="12"/>
                <c:pt idx="0">
                  <c:v>May'26</c:v>
                </c:pt>
                <c:pt idx="1">
                  <c:v>Jun'26</c:v>
                </c:pt>
                <c:pt idx="2">
                  <c:v>Jul'26</c:v>
                </c:pt>
                <c:pt idx="3">
                  <c:v>Aug'26</c:v>
                </c:pt>
                <c:pt idx="4">
                  <c:v>Sep'26</c:v>
                </c:pt>
                <c:pt idx="5">
                  <c:v>Oct'26</c:v>
                </c:pt>
                <c:pt idx="6">
                  <c:v>Nov'26</c:v>
                </c:pt>
                <c:pt idx="7">
                  <c:v>Dec'26</c:v>
                </c:pt>
                <c:pt idx="8">
                  <c:v>Jan'27</c:v>
                </c:pt>
                <c:pt idx="9">
                  <c:v>Feb'27</c:v>
                </c:pt>
                <c:pt idx="10">
                  <c:v>Mar'27</c:v>
                </c:pt>
                <c:pt idx="11">
                  <c:v>Apr'27</c:v>
                </c:pt>
              </c:strCache>
            </c:strRef>
          </c:cat>
          <c:val>
            <c:numRef>
              <c:f>Projections!$C$20:$N$20</c:f>
              <c:numCache>
                <c:formatCode>[$$-409]#,##0;"($"#,##0\);\-</c:formatCode>
                <c:ptCount val="12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5450</c:v>
                </c:pt>
                <c:pt idx="7">
                  <c:v>5600</c:v>
                </c:pt>
                <c:pt idx="8">
                  <c:v>5900</c:v>
                </c:pt>
                <c:pt idx="9">
                  <c:v>6200</c:v>
                </c:pt>
                <c:pt idx="10">
                  <c:v>7500</c:v>
                </c:pt>
                <c:pt idx="11">
                  <c:v>8800</c:v>
                </c:pt>
              </c:numCache>
            </c:numRef>
          </c:val>
        </c:ser>
        <c:gapWidth val="150"/>
        <c:overlap val="0"/>
        <c:axId val="53261103"/>
        <c:axId val="75946509"/>
      </c:barChart>
      <c:catAx>
        <c:axId val="5326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5946509"/>
        <c:crosses val="autoZero"/>
        <c:auto val="1"/>
        <c:lblAlgn val="ctr"/>
        <c:lblOffset val="100"/>
        <c:noMultiLvlLbl val="0"/>
      </c:catAx>
      <c:valAx>
        <c:axId val="759465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[$$-409]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326110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Cumulative Operating Profit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Projections!$C$4:$N$4</c:f>
              <c:strCache>
                <c:ptCount val="12"/>
                <c:pt idx="0">
                  <c:v>May'26</c:v>
                </c:pt>
                <c:pt idx="1">
                  <c:v>Jun'26</c:v>
                </c:pt>
                <c:pt idx="2">
                  <c:v>Jul'26</c:v>
                </c:pt>
                <c:pt idx="3">
                  <c:v>Aug'26</c:v>
                </c:pt>
                <c:pt idx="4">
                  <c:v>Sep'26</c:v>
                </c:pt>
                <c:pt idx="5">
                  <c:v>Oct'26</c:v>
                </c:pt>
                <c:pt idx="6">
                  <c:v>Nov'26</c:v>
                </c:pt>
                <c:pt idx="7">
                  <c:v>Dec'26</c:v>
                </c:pt>
                <c:pt idx="8">
                  <c:v>Jan'27</c:v>
                </c:pt>
                <c:pt idx="9">
                  <c:v>Feb'27</c:v>
                </c:pt>
                <c:pt idx="10">
                  <c:v>Mar'27</c:v>
                </c:pt>
                <c:pt idx="11">
                  <c:v>Apr'27</c:v>
                </c:pt>
              </c:strCache>
            </c:strRef>
          </c:cat>
          <c:val>
            <c:numRef>
              <c:f>Projections!$C$32:$N$32</c:f>
              <c:numCache>
                <c:formatCode>[$$-409]#,##0;"($"#,##0\);\-</c:formatCode>
                <c:ptCount val="12"/>
                <c:pt idx="0">
                  <c:v>400</c:v>
                </c:pt>
                <c:pt idx="1">
                  <c:v>-6350</c:v>
                </c:pt>
                <c:pt idx="2">
                  <c:v>-5950</c:v>
                </c:pt>
                <c:pt idx="3">
                  <c:v>-5550</c:v>
                </c:pt>
                <c:pt idx="4">
                  <c:v>-5150</c:v>
                </c:pt>
                <c:pt idx="5">
                  <c:v>-4750</c:v>
                </c:pt>
                <c:pt idx="6">
                  <c:v>-150</c:v>
                </c:pt>
                <c:pt idx="7">
                  <c:v>4500</c:v>
                </c:pt>
                <c:pt idx="8">
                  <c:v>9250</c:v>
                </c:pt>
                <c:pt idx="9">
                  <c:v>14040</c:v>
                </c:pt>
                <c:pt idx="10">
                  <c:v>19990</c:v>
                </c:pt>
                <c:pt idx="11">
                  <c:v>27140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9832570"/>
        <c:axId val="18378109"/>
      </c:lineChart>
      <c:catAx>
        <c:axId val="498325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378109"/>
        <c:crosses val="autoZero"/>
        <c:auto val="1"/>
        <c:lblAlgn val="ctr"/>
        <c:lblOffset val="100"/>
        <c:noMultiLvlLbl val="0"/>
      </c:catAx>
      <c:valAx>
        <c:axId val="183781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[$$-409]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83257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27</xdr:row>
      <xdr:rowOff>0</xdr:rowOff>
    </xdr:from>
    <xdr:to>
      <xdr:col>3</xdr:col>
      <xdr:colOff>621720</xdr:colOff>
      <xdr:row>41</xdr:row>
      <xdr:rowOff>32400</xdr:rowOff>
    </xdr:to>
    <xdr:graphicFrame>
      <xdr:nvGraphicFramePr>
        <xdr:cNvPr id="1" name="Chart 1"/>
        <xdr:cNvGraphicFramePr/>
      </xdr:nvGraphicFramePr>
      <xdr:xfrm>
        <a:off x="0" y="522720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43</xdr:row>
      <xdr:rowOff>0</xdr:rowOff>
    </xdr:from>
    <xdr:to>
      <xdr:col>3</xdr:col>
      <xdr:colOff>621720</xdr:colOff>
      <xdr:row>57</xdr:row>
      <xdr:rowOff>32760</xdr:rowOff>
    </xdr:to>
    <xdr:graphicFrame>
      <xdr:nvGraphicFramePr>
        <xdr:cNvPr id="2" name="Chart 2"/>
        <xdr:cNvGraphicFramePr/>
      </xdr:nvGraphicFramePr>
      <xdr:xfrm>
        <a:off x="0" y="827532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0"/>
    <col collapsed="false" customWidth="true" hidden="false" outlineLevel="0" max="14" min="3" style="0" width="9"/>
    <col collapsed="false" customWidth="true" hidden="false" outlineLevel="0" max="15" min="15" style="0" width="12"/>
  </cols>
  <sheetData>
    <row r="1" customFormat="false" ht="21.6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29.85" hidden="false" customHeight="false" outlineLevel="0" collapsed="false">
      <c r="A4" s="3" t="s">
        <v>2</v>
      </c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4" t="s">
        <v>16</v>
      </c>
    </row>
    <row r="5" customFormat="false" ht="15" hidden="false" customHeight="false" outlineLevel="0" collapsed="false">
      <c r="A5" s="6" t="s">
        <v>17</v>
      </c>
      <c r="B5" s="7"/>
      <c r="C5" s="8" t="n">
        <v>115.5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customFormat="false" ht="15" hidden="false" customHeight="false" outlineLevel="0" collapsed="false">
      <c r="A6" s="9" t="s">
        <v>18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customFormat="false" ht="15" hidden="false" customHeight="false" outlineLevel="0" collapsed="false">
      <c r="A7" s="11" t="s">
        <v>19</v>
      </c>
      <c r="B7" s="12" t="s">
        <v>20</v>
      </c>
      <c r="C7" s="13" t="n">
        <v>50</v>
      </c>
      <c r="D7" s="13" t="n">
        <v>50</v>
      </c>
      <c r="E7" s="13" t="n">
        <v>50</v>
      </c>
      <c r="F7" s="13" t="n">
        <v>50</v>
      </c>
      <c r="G7" s="13" t="n">
        <v>50</v>
      </c>
      <c r="H7" s="13" t="n">
        <v>50</v>
      </c>
      <c r="I7" s="13" t="n">
        <v>150</v>
      </c>
      <c r="J7" s="13" t="n">
        <v>200</v>
      </c>
      <c r="K7" s="13" t="n">
        <v>300</v>
      </c>
      <c r="L7" s="13" t="n">
        <v>380</v>
      </c>
      <c r="M7" s="13" t="n">
        <v>450</v>
      </c>
      <c r="N7" s="13" t="n">
        <v>500</v>
      </c>
      <c r="O7" s="14" t="n">
        <f aca="false">N7</f>
        <v>500</v>
      </c>
    </row>
    <row r="8" customFormat="false" ht="15" hidden="false" customHeight="false" outlineLevel="0" collapsed="false">
      <c r="A8" s="11" t="s">
        <v>21</v>
      </c>
      <c r="B8" s="12" t="s">
        <v>22</v>
      </c>
      <c r="C8" s="15" t="n">
        <v>500</v>
      </c>
      <c r="D8" s="15" t="n">
        <v>500</v>
      </c>
      <c r="E8" s="15" t="n">
        <v>500</v>
      </c>
      <c r="F8" s="15" t="n">
        <v>500</v>
      </c>
      <c r="G8" s="15" t="n">
        <v>500</v>
      </c>
      <c r="H8" s="15" t="n">
        <v>500</v>
      </c>
      <c r="I8" s="15" t="n">
        <v>5000</v>
      </c>
      <c r="J8" s="15" t="n">
        <v>5000</v>
      </c>
      <c r="K8" s="15" t="n">
        <v>5000</v>
      </c>
      <c r="L8" s="15" t="n">
        <v>5000</v>
      </c>
      <c r="M8" s="15" t="n">
        <v>5000</v>
      </c>
      <c r="N8" s="15" t="n">
        <v>5000</v>
      </c>
      <c r="O8" s="16" t="n">
        <f aca="false">SUM(C8:N8)</f>
        <v>33000</v>
      </c>
    </row>
    <row r="9" customFormat="false" ht="15" hidden="false" customHeight="false" outlineLevel="0" collapsed="false">
      <c r="A9" s="11" t="s">
        <v>23</v>
      </c>
      <c r="B9" s="12" t="s">
        <v>20</v>
      </c>
      <c r="C9" s="13" t="n">
        <v>0</v>
      </c>
      <c r="D9" s="13" t="n">
        <v>0</v>
      </c>
      <c r="E9" s="13" t="n">
        <v>0</v>
      </c>
      <c r="F9" s="13" t="n">
        <v>0</v>
      </c>
      <c r="G9" s="13" t="n">
        <v>0</v>
      </c>
      <c r="H9" s="13" t="n">
        <v>0</v>
      </c>
      <c r="I9" s="13" t="n">
        <v>3</v>
      </c>
      <c r="J9" s="13" t="n">
        <v>4</v>
      </c>
      <c r="K9" s="13" t="n">
        <v>6</v>
      </c>
      <c r="L9" s="13" t="n">
        <v>8</v>
      </c>
      <c r="M9" s="13" t="n">
        <v>10</v>
      </c>
      <c r="N9" s="13" t="n">
        <v>12</v>
      </c>
      <c r="O9" s="17" t="n">
        <f aca="false">SUM(C9:N9)</f>
        <v>43</v>
      </c>
    </row>
    <row r="10" customFormat="false" ht="15" hidden="false" customHeight="false" outlineLevel="0" collapsed="false">
      <c r="A10" s="6" t="s">
        <v>24</v>
      </c>
      <c r="B10" s="7"/>
      <c r="C10" s="15" t="n">
        <v>150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customFormat="false" ht="15" hidden="false" customHeight="false" outlineLevel="0" collapsed="false">
      <c r="A11" s="11" t="s">
        <v>25</v>
      </c>
      <c r="B11" s="12" t="s">
        <v>22</v>
      </c>
      <c r="C11" s="15" t="n">
        <v>0</v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5" t="n">
        <v>0</v>
      </c>
      <c r="L11" s="15" t="n">
        <v>0</v>
      </c>
      <c r="M11" s="15" t="n">
        <v>1000</v>
      </c>
      <c r="N11" s="15" t="n">
        <v>2000</v>
      </c>
      <c r="O11" s="16" t="n">
        <f aca="false">SUM(C11:N11)</f>
        <v>3000</v>
      </c>
    </row>
    <row r="12" customFormat="false" ht="15" hidden="false" customHeight="false" outlineLevel="0" collapsed="false">
      <c r="A12" s="6" t="s">
        <v>26</v>
      </c>
      <c r="B12" s="7"/>
      <c r="C12" s="15" t="n">
        <v>2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customFormat="false" ht="15" hidden="false" customHeight="false" outlineLevel="0" collapsed="false">
      <c r="A13" s="11" t="s">
        <v>27</v>
      </c>
      <c r="B13" s="12" t="s">
        <v>22</v>
      </c>
      <c r="C13" s="15" t="n">
        <v>0</v>
      </c>
      <c r="D13" s="15" t="n">
        <v>0</v>
      </c>
      <c r="E13" s="15" t="n">
        <v>0</v>
      </c>
      <c r="F13" s="15" t="n">
        <v>0</v>
      </c>
      <c r="G13" s="15" t="n">
        <v>0</v>
      </c>
      <c r="H13" s="15" t="n">
        <v>0</v>
      </c>
      <c r="I13" s="15" t="n">
        <v>50</v>
      </c>
      <c r="J13" s="15" t="n">
        <v>50</v>
      </c>
      <c r="K13" s="15" t="n">
        <v>50</v>
      </c>
      <c r="L13" s="15" t="n">
        <v>150</v>
      </c>
      <c r="M13" s="15" t="n">
        <v>150</v>
      </c>
      <c r="N13" s="15" t="n">
        <v>150</v>
      </c>
      <c r="O13" s="16" t="n">
        <f aca="false">SUM(C13:N13)</f>
        <v>600</v>
      </c>
    </row>
    <row r="14" customFormat="false" ht="15" hidden="false" customHeight="false" outlineLevel="0" collapsed="false">
      <c r="A14" s="11" t="s">
        <v>28</v>
      </c>
      <c r="B14" s="12" t="s">
        <v>22</v>
      </c>
      <c r="C14" s="15" t="n">
        <v>0</v>
      </c>
      <c r="D14" s="15" t="n">
        <v>0</v>
      </c>
      <c r="E14" s="15" t="n">
        <v>0</v>
      </c>
      <c r="F14" s="15" t="n">
        <v>0</v>
      </c>
      <c r="G14" s="15" t="n">
        <v>0</v>
      </c>
      <c r="H14" s="15" t="n">
        <v>0</v>
      </c>
      <c r="I14" s="15" t="n">
        <v>500</v>
      </c>
      <c r="J14" s="15" t="n">
        <v>500</v>
      </c>
      <c r="K14" s="15" t="n">
        <v>500</v>
      </c>
      <c r="L14" s="15" t="n">
        <v>500</v>
      </c>
      <c r="M14" s="15" t="n">
        <v>500</v>
      </c>
      <c r="N14" s="15" t="n">
        <v>500</v>
      </c>
      <c r="O14" s="16" t="n">
        <f aca="false">SUM(C14:N14)</f>
        <v>3000</v>
      </c>
    </row>
    <row r="15" customFormat="false" ht="15" hidden="false" customHeight="false" outlineLevel="0" collapsed="false">
      <c r="A15" s="11" t="s">
        <v>29</v>
      </c>
      <c r="B15" s="12" t="s">
        <v>30</v>
      </c>
      <c r="C15" s="15" t="n">
        <v>0</v>
      </c>
      <c r="D15" s="15" t="n">
        <v>7150</v>
      </c>
      <c r="E15" s="15" t="n">
        <v>0</v>
      </c>
      <c r="F15" s="15" t="n">
        <v>0</v>
      </c>
      <c r="G15" s="15" t="n">
        <v>0</v>
      </c>
      <c r="H15" s="15" t="n">
        <v>0</v>
      </c>
      <c r="I15" s="15" t="n">
        <v>0</v>
      </c>
      <c r="J15" s="15" t="n">
        <v>0</v>
      </c>
      <c r="K15" s="15" t="n">
        <v>0</v>
      </c>
      <c r="L15" s="15" t="n">
        <v>0</v>
      </c>
      <c r="M15" s="15" t="n">
        <v>0</v>
      </c>
      <c r="N15" s="15" t="n">
        <v>0</v>
      </c>
      <c r="O15" s="16" t="n">
        <f aca="false">SUM(C15:N15)</f>
        <v>7150</v>
      </c>
    </row>
    <row r="16" customFormat="false" ht="15" hidden="false" customHeight="false" outlineLevel="0" collapsed="false">
      <c r="A16" s="9" t="s">
        <v>31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customFormat="false" ht="15" hidden="false" customHeight="false" outlineLevel="0" collapsed="false">
      <c r="A17" s="11" t="s">
        <v>32</v>
      </c>
      <c r="B17" s="12" t="s">
        <v>22</v>
      </c>
      <c r="C17" s="18" t="n">
        <f aca="false">C8</f>
        <v>500</v>
      </c>
      <c r="D17" s="18" t="n">
        <f aca="false">D8</f>
        <v>500</v>
      </c>
      <c r="E17" s="18" t="n">
        <f aca="false">E8</f>
        <v>500</v>
      </c>
      <c r="F17" s="18" t="n">
        <f aca="false">F8</f>
        <v>500</v>
      </c>
      <c r="G17" s="18" t="n">
        <f aca="false">G8</f>
        <v>500</v>
      </c>
      <c r="H17" s="18" t="n">
        <f aca="false">H8</f>
        <v>500</v>
      </c>
      <c r="I17" s="18" t="n">
        <f aca="false">I8</f>
        <v>5000</v>
      </c>
      <c r="J17" s="18" t="n">
        <f aca="false">J8</f>
        <v>5000</v>
      </c>
      <c r="K17" s="18" t="n">
        <f aca="false">K8</f>
        <v>5000</v>
      </c>
      <c r="L17" s="18" t="n">
        <f aca="false">L8</f>
        <v>5000</v>
      </c>
      <c r="M17" s="18" t="n">
        <f aca="false">M8</f>
        <v>5000</v>
      </c>
      <c r="N17" s="18" t="n">
        <f aca="false">N8</f>
        <v>5000</v>
      </c>
      <c r="O17" s="16" t="n">
        <f aca="false">SUM(C17:N17)</f>
        <v>33000</v>
      </c>
    </row>
    <row r="18" customFormat="false" ht="15" hidden="false" customHeight="false" outlineLevel="0" collapsed="false">
      <c r="A18" s="11" t="s">
        <v>33</v>
      </c>
      <c r="B18" s="12" t="s">
        <v>22</v>
      </c>
      <c r="C18" s="18" t="n">
        <f aca="false">C9*$C$10</f>
        <v>0</v>
      </c>
      <c r="D18" s="18" t="n">
        <f aca="false">D9*$C$10</f>
        <v>0</v>
      </c>
      <c r="E18" s="18" t="n">
        <f aca="false">E9*$C$10</f>
        <v>0</v>
      </c>
      <c r="F18" s="18" t="n">
        <f aca="false">F9*$C$10</f>
        <v>0</v>
      </c>
      <c r="G18" s="18" t="n">
        <f aca="false">G9*$C$10</f>
        <v>0</v>
      </c>
      <c r="H18" s="18" t="n">
        <f aca="false">H9*$C$10</f>
        <v>0</v>
      </c>
      <c r="I18" s="18" t="n">
        <f aca="false">I9*$C$10</f>
        <v>450</v>
      </c>
      <c r="J18" s="18" t="n">
        <f aca="false">J9*$C$10</f>
        <v>600</v>
      </c>
      <c r="K18" s="18" t="n">
        <f aca="false">K9*$C$10</f>
        <v>900</v>
      </c>
      <c r="L18" s="18" t="n">
        <f aca="false">L9*$C$10</f>
        <v>1200</v>
      </c>
      <c r="M18" s="18" t="n">
        <f aca="false">M9*$C$10</f>
        <v>1500</v>
      </c>
      <c r="N18" s="18" t="n">
        <f aca="false">N9*$C$10</f>
        <v>1800</v>
      </c>
      <c r="O18" s="16" t="n">
        <f aca="false">SUM(C18:N18)</f>
        <v>6450</v>
      </c>
    </row>
    <row r="19" customFormat="false" ht="15" hidden="false" customHeight="false" outlineLevel="0" collapsed="false">
      <c r="A19" s="11" t="s">
        <v>25</v>
      </c>
      <c r="B19" s="12" t="s">
        <v>22</v>
      </c>
      <c r="C19" s="18" t="n">
        <f aca="false">C11</f>
        <v>0</v>
      </c>
      <c r="D19" s="18" t="n">
        <f aca="false">D11</f>
        <v>0</v>
      </c>
      <c r="E19" s="18" t="n">
        <f aca="false">E11</f>
        <v>0</v>
      </c>
      <c r="F19" s="18" t="n">
        <f aca="false">F11</f>
        <v>0</v>
      </c>
      <c r="G19" s="18" t="n">
        <f aca="false">G11</f>
        <v>0</v>
      </c>
      <c r="H19" s="18" t="n">
        <f aca="false">H11</f>
        <v>0</v>
      </c>
      <c r="I19" s="18" t="n">
        <f aca="false">I11</f>
        <v>0</v>
      </c>
      <c r="J19" s="18" t="n">
        <f aca="false">J11</f>
        <v>0</v>
      </c>
      <c r="K19" s="18" t="n">
        <f aca="false">K11</f>
        <v>0</v>
      </c>
      <c r="L19" s="18" t="n">
        <f aca="false">L11</f>
        <v>0</v>
      </c>
      <c r="M19" s="18" t="n">
        <f aca="false">M11</f>
        <v>1000</v>
      </c>
      <c r="N19" s="18" t="n">
        <f aca="false">N11</f>
        <v>2000</v>
      </c>
      <c r="O19" s="16" t="n">
        <f aca="false">SUM(C19:N19)</f>
        <v>3000</v>
      </c>
    </row>
    <row r="20" customFormat="false" ht="15" hidden="false" customHeight="false" outlineLevel="0" collapsed="false">
      <c r="A20" s="19" t="s">
        <v>34</v>
      </c>
      <c r="B20" s="20" t="s">
        <v>22</v>
      </c>
      <c r="C20" s="21" t="n">
        <f aca="false">C17+C18+C19</f>
        <v>500</v>
      </c>
      <c r="D20" s="21" t="n">
        <f aca="false">D17+D18+D19</f>
        <v>500</v>
      </c>
      <c r="E20" s="21" t="n">
        <f aca="false">E17+E18+E19</f>
        <v>500</v>
      </c>
      <c r="F20" s="21" t="n">
        <f aca="false">F17+F18+F19</f>
        <v>500</v>
      </c>
      <c r="G20" s="21" t="n">
        <f aca="false">G17+G18+G19</f>
        <v>500</v>
      </c>
      <c r="H20" s="21" t="n">
        <f aca="false">H17+H18+H19</f>
        <v>500</v>
      </c>
      <c r="I20" s="21" t="n">
        <f aca="false">I17+I18+I19</f>
        <v>5450</v>
      </c>
      <c r="J20" s="21" t="n">
        <f aca="false">J17+J18+J19</f>
        <v>5600</v>
      </c>
      <c r="K20" s="21" t="n">
        <f aca="false">K17+K18+K19</f>
        <v>5900</v>
      </c>
      <c r="L20" s="21" t="n">
        <f aca="false">L17+L18+L19</f>
        <v>6200</v>
      </c>
      <c r="M20" s="21" t="n">
        <f aca="false">M17+M18+M19</f>
        <v>7500</v>
      </c>
      <c r="N20" s="21" t="n">
        <f aca="false">N17+N18+N19</f>
        <v>8800</v>
      </c>
      <c r="O20" s="22" t="n">
        <f aca="false">SUM(C20:N20)</f>
        <v>42450</v>
      </c>
    </row>
    <row r="21" customFormat="false" ht="15" hidden="false" customHeight="false" outlineLevel="0" collapsed="false">
      <c r="A21" s="11" t="s">
        <v>35</v>
      </c>
      <c r="B21" s="12" t="s">
        <v>30</v>
      </c>
      <c r="C21" s="18" t="n">
        <f aca="false">C20</f>
        <v>500</v>
      </c>
      <c r="D21" s="18" t="n">
        <f aca="false">C21+D20</f>
        <v>1000</v>
      </c>
      <c r="E21" s="18" t="n">
        <f aca="false">D21+E20</f>
        <v>1500</v>
      </c>
      <c r="F21" s="18" t="n">
        <f aca="false">E21+F20</f>
        <v>2000</v>
      </c>
      <c r="G21" s="18" t="n">
        <f aca="false">F21+G20</f>
        <v>2500</v>
      </c>
      <c r="H21" s="18" t="n">
        <f aca="false">G21+H20</f>
        <v>3000</v>
      </c>
      <c r="I21" s="18" t="n">
        <f aca="false">H21+I20</f>
        <v>8450</v>
      </c>
      <c r="J21" s="18" t="n">
        <f aca="false">I21+J20</f>
        <v>14050</v>
      </c>
      <c r="K21" s="18" t="n">
        <f aca="false">J21+K20</f>
        <v>19950</v>
      </c>
      <c r="L21" s="18" t="n">
        <f aca="false">K21+L20</f>
        <v>26150</v>
      </c>
      <c r="M21" s="18" t="n">
        <f aca="false">L21+M20</f>
        <v>33650</v>
      </c>
      <c r="N21" s="18" t="n">
        <f aca="false">M21+N20</f>
        <v>42450</v>
      </c>
      <c r="O21" s="16" t="n">
        <f aca="false">N21</f>
        <v>42450</v>
      </c>
    </row>
    <row r="22" customFormat="false" ht="15" hidden="false" customHeight="false" outlineLevel="0" collapsed="false">
      <c r="A22" s="9" t="s">
        <v>36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customFormat="false" ht="15" hidden="false" customHeight="false" outlineLevel="0" collapsed="false">
      <c r="A23" s="11" t="s">
        <v>37</v>
      </c>
      <c r="B23" s="12" t="s">
        <v>22</v>
      </c>
      <c r="C23" s="18" t="n">
        <f aca="false">C7*$C$12</f>
        <v>100</v>
      </c>
      <c r="D23" s="18" t="n">
        <f aca="false">D7*$C$12</f>
        <v>100</v>
      </c>
      <c r="E23" s="18" t="n">
        <f aca="false">E7*$C$12</f>
        <v>100</v>
      </c>
      <c r="F23" s="18" t="n">
        <f aca="false">F7*$C$12</f>
        <v>100</v>
      </c>
      <c r="G23" s="18" t="n">
        <f aca="false">G7*$C$12</f>
        <v>100</v>
      </c>
      <c r="H23" s="18" t="n">
        <f aca="false">H7*$C$12</f>
        <v>100</v>
      </c>
      <c r="I23" s="18" t="n">
        <f aca="false">I7*$C$12</f>
        <v>300</v>
      </c>
      <c r="J23" s="18" t="n">
        <f aca="false">J7*$C$12</f>
        <v>400</v>
      </c>
      <c r="K23" s="18" t="n">
        <f aca="false">K7*$C$12</f>
        <v>600</v>
      </c>
      <c r="L23" s="18" t="n">
        <f aca="false">L7*$C$12</f>
        <v>760</v>
      </c>
      <c r="M23" s="18" t="n">
        <f aca="false">M7*$C$12</f>
        <v>900</v>
      </c>
      <c r="N23" s="18" t="n">
        <f aca="false">N7*$C$12</f>
        <v>1000</v>
      </c>
      <c r="O23" s="16" t="n">
        <f aca="false">SUM(C23:N23)</f>
        <v>4560</v>
      </c>
    </row>
    <row r="24" customFormat="false" ht="15" hidden="false" customHeight="false" outlineLevel="0" collapsed="false">
      <c r="A24" s="11" t="s">
        <v>38</v>
      </c>
      <c r="B24" s="12" t="s">
        <v>22</v>
      </c>
      <c r="C24" s="18" t="n">
        <f aca="false">C13</f>
        <v>0</v>
      </c>
      <c r="D24" s="18" t="n">
        <f aca="false">D13</f>
        <v>0</v>
      </c>
      <c r="E24" s="18" t="n">
        <f aca="false">E13</f>
        <v>0</v>
      </c>
      <c r="F24" s="18" t="n">
        <f aca="false">F13</f>
        <v>0</v>
      </c>
      <c r="G24" s="18" t="n">
        <f aca="false">G13</f>
        <v>0</v>
      </c>
      <c r="H24" s="18" t="n">
        <f aca="false">H13</f>
        <v>0</v>
      </c>
      <c r="I24" s="18" t="n">
        <f aca="false">I13</f>
        <v>50</v>
      </c>
      <c r="J24" s="18" t="n">
        <f aca="false">J13</f>
        <v>50</v>
      </c>
      <c r="K24" s="18" t="n">
        <f aca="false">K13</f>
        <v>50</v>
      </c>
      <c r="L24" s="18" t="n">
        <f aca="false">L13</f>
        <v>150</v>
      </c>
      <c r="M24" s="18" t="n">
        <f aca="false">M13</f>
        <v>150</v>
      </c>
      <c r="N24" s="18" t="n">
        <f aca="false">N13</f>
        <v>150</v>
      </c>
      <c r="O24" s="16" t="n">
        <f aca="false">SUM(C24:N24)</f>
        <v>600</v>
      </c>
    </row>
    <row r="25" customFormat="false" ht="15" hidden="false" customHeight="false" outlineLevel="0" collapsed="false">
      <c r="A25" s="11" t="s">
        <v>39</v>
      </c>
      <c r="B25" s="12" t="s">
        <v>22</v>
      </c>
      <c r="C25" s="18" t="n">
        <f aca="false">C14</f>
        <v>0</v>
      </c>
      <c r="D25" s="18" t="n">
        <f aca="false">D14</f>
        <v>0</v>
      </c>
      <c r="E25" s="18" t="n">
        <f aca="false">E14</f>
        <v>0</v>
      </c>
      <c r="F25" s="18" t="n">
        <f aca="false">F14</f>
        <v>0</v>
      </c>
      <c r="G25" s="18" t="n">
        <f aca="false">G14</f>
        <v>0</v>
      </c>
      <c r="H25" s="18" t="n">
        <f aca="false">H14</f>
        <v>0</v>
      </c>
      <c r="I25" s="18" t="n">
        <f aca="false">I14</f>
        <v>500</v>
      </c>
      <c r="J25" s="18" t="n">
        <f aca="false">J14</f>
        <v>500</v>
      </c>
      <c r="K25" s="18" t="n">
        <f aca="false">K14</f>
        <v>500</v>
      </c>
      <c r="L25" s="18" t="n">
        <f aca="false">L14</f>
        <v>500</v>
      </c>
      <c r="M25" s="18" t="n">
        <f aca="false">M14</f>
        <v>500</v>
      </c>
      <c r="N25" s="18" t="n">
        <f aca="false">N14</f>
        <v>500</v>
      </c>
      <c r="O25" s="16" t="n">
        <f aca="false">SUM(C25:N25)</f>
        <v>3000</v>
      </c>
    </row>
    <row r="26" customFormat="false" ht="15" hidden="false" customHeight="false" outlineLevel="0" collapsed="false">
      <c r="A26" s="11" t="s">
        <v>40</v>
      </c>
      <c r="B26" s="12" t="s">
        <v>30</v>
      </c>
      <c r="C26" s="18" t="n">
        <f aca="false">C15</f>
        <v>0</v>
      </c>
      <c r="D26" s="18" t="n">
        <f aca="false">D15</f>
        <v>7150</v>
      </c>
      <c r="E26" s="18" t="n">
        <f aca="false">E15</f>
        <v>0</v>
      </c>
      <c r="F26" s="18" t="n">
        <f aca="false">F15</f>
        <v>0</v>
      </c>
      <c r="G26" s="18" t="n">
        <f aca="false">G15</f>
        <v>0</v>
      </c>
      <c r="H26" s="18" t="n">
        <f aca="false">H15</f>
        <v>0</v>
      </c>
      <c r="I26" s="18" t="n">
        <f aca="false">I15</f>
        <v>0</v>
      </c>
      <c r="J26" s="18" t="n">
        <f aca="false">J15</f>
        <v>0</v>
      </c>
      <c r="K26" s="18" t="n">
        <f aca="false">K15</f>
        <v>0</v>
      </c>
      <c r="L26" s="18" t="n">
        <f aca="false">L15</f>
        <v>0</v>
      </c>
      <c r="M26" s="18" t="n">
        <f aca="false">M15</f>
        <v>0</v>
      </c>
      <c r="N26" s="18" t="n">
        <f aca="false">N15</f>
        <v>0</v>
      </c>
      <c r="O26" s="16" t="n">
        <f aca="false">SUM(C26:N26)</f>
        <v>7150</v>
      </c>
    </row>
    <row r="27" customFormat="false" ht="15" hidden="false" customHeight="false" outlineLevel="0" collapsed="false">
      <c r="A27" s="19" t="s">
        <v>41</v>
      </c>
      <c r="B27" s="20" t="s">
        <v>22</v>
      </c>
      <c r="C27" s="21" t="n">
        <f aca="false">C23+C24+C25+C26</f>
        <v>100</v>
      </c>
      <c r="D27" s="21" t="n">
        <f aca="false">D23+D24+D25+D26</f>
        <v>7250</v>
      </c>
      <c r="E27" s="21" t="n">
        <f aca="false">E23+E24+E25+E26</f>
        <v>100</v>
      </c>
      <c r="F27" s="21" t="n">
        <f aca="false">F23+F24+F25+F26</f>
        <v>100</v>
      </c>
      <c r="G27" s="21" t="n">
        <f aca="false">G23+G24+G25+G26</f>
        <v>100</v>
      </c>
      <c r="H27" s="21" t="n">
        <f aca="false">H23+H24+H25+H26</f>
        <v>100</v>
      </c>
      <c r="I27" s="21" t="n">
        <f aca="false">I23+I24+I25+I26</f>
        <v>850</v>
      </c>
      <c r="J27" s="21" t="n">
        <f aca="false">J23+J24+J25+J26</f>
        <v>950</v>
      </c>
      <c r="K27" s="21" t="n">
        <f aca="false">K23+K24+K25+K26</f>
        <v>1150</v>
      </c>
      <c r="L27" s="21" t="n">
        <f aca="false">L23+L24+L25+L26</f>
        <v>1410</v>
      </c>
      <c r="M27" s="21" t="n">
        <f aca="false">M23+M24+M25+M26</f>
        <v>1550</v>
      </c>
      <c r="N27" s="21" t="n">
        <f aca="false">N23+N24+N25+N26</f>
        <v>1650</v>
      </c>
      <c r="O27" s="22" t="n">
        <f aca="false">SUM(C27:N27)</f>
        <v>15310</v>
      </c>
    </row>
    <row r="28" customFormat="false" ht="15" hidden="false" customHeight="false" outlineLevel="0" collapsed="false">
      <c r="A28" s="9" t="s">
        <v>42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customFormat="false" ht="15" hidden="false" customHeight="false" outlineLevel="0" collapsed="false">
      <c r="A29" s="19" t="s">
        <v>43</v>
      </c>
      <c r="B29" s="20" t="s">
        <v>22</v>
      </c>
      <c r="C29" s="21" t="n">
        <f aca="false">C20-C23-C24</f>
        <v>400</v>
      </c>
      <c r="D29" s="21" t="n">
        <f aca="false">D20-D23-D24</f>
        <v>400</v>
      </c>
      <c r="E29" s="21" t="n">
        <f aca="false">E20-E23-E24</f>
        <v>400</v>
      </c>
      <c r="F29" s="21" t="n">
        <f aca="false">F20-F23-F24</f>
        <v>400</v>
      </c>
      <c r="G29" s="21" t="n">
        <f aca="false">G20-G23-G24</f>
        <v>400</v>
      </c>
      <c r="H29" s="21" t="n">
        <f aca="false">H20-H23-H24</f>
        <v>400</v>
      </c>
      <c r="I29" s="21" t="n">
        <f aca="false">I20-I23-I24</f>
        <v>5100</v>
      </c>
      <c r="J29" s="21" t="n">
        <f aca="false">J20-J23-J24</f>
        <v>5150</v>
      </c>
      <c r="K29" s="21" t="n">
        <f aca="false">K20-K23-K24</f>
        <v>5250</v>
      </c>
      <c r="L29" s="21" t="n">
        <f aca="false">L20-L23-L24</f>
        <v>5290</v>
      </c>
      <c r="M29" s="21" t="n">
        <f aca="false">M20-M23-M24</f>
        <v>6450</v>
      </c>
      <c r="N29" s="21" t="n">
        <f aca="false">N20-N23-N24</f>
        <v>7650</v>
      </c>
      <c r="O29" s="22" t="n">
        <f aca="false">SUM(C29:N29)</f>
        <v>37290</v>
      </c>
    </row>
    <row r="30" customFormat="false" ht="15" hidden="false" customHeight="false" outlineLevel="0" collapsed="false">
      <c r="A30" s="11" t="s">
        <v>44</v>
      </c>
      <c r="B30" s="12" t="s">
        <v>45</v>
      </c>
      <c r="C30" s="23" t="n">
        <f aca="false">IF(C20=0,0,C29/C20)</f>
        <v>0.8</v>
      </c>
      <c r="D30" s="23" t="n">
        <f aca="false">IF(D20=0,0,D29/D20)</f>
        <v>0.8</v>
      </c>
      <c r="E30" s="23" t="n">
        <f aca="false">IF(E20=0,0,E29/E20)</f>
        <v>0.8</v>
      </c>
      <c r="F30" s="23" t="n">
        <f aca="false">IF(F20=0,0,F29/F20)</f>
        <v>0.8</v>
      </c>
      <c r="G30" s="23" t="n">
        <f aca="false">IF(G20=0,0,G29/G20)</f>
        <v>0.8</v>
      </c>
      <c r="H30" s="23" t="n">
        <f aca="false">IF(H20=0,0,H29/H20)</f>
        <v>0.8</v>
      </c>
      <c r="I30" s="23" t="n">
        <f aca="false">IF(I20=0,0,I29/I20)</f>
        <v>0.935779816513762</v>
      </c>
      <c r="J30" s="23" t="n">
        <f aca="false">IF(J20=0,0,J29/J20)</f>
        <v>0.919642857142857</v>
      </c>
      <c r="K30" s="23" t="n">
        <f aca="false">IF(K20=0,0,K29/K20)</f>
        <v>0.889830508474576</v>
      </c>
      <c r="L30" s="23" t="n">
        <f aca="false">IF(L20=0,0,L29/L20)</f>
        <v>0.853225806451613</v>
      </c>
      <c r="M30" s="23" t="n">
        <f aca="false">IF(M20=0,0,M29/M20)</f>
        <v>0.86</v>
      </c>
      <c r="N30" s="23" t="n">
        <f aca="false">IF(N20=0,0,N29/N20)</f>
        <v>0.869318181818182</v>
      </c>
      <c r="O30" s="24" t="n">
        <f aca="false">N30</f>
        <v>0.869318181818182</v>
      </c>
    </row>
    <row r="31" customFormat="false" ht="15" hidden="false" customHeight="false" outlineLevel="0" collapsed="false">
      <c r="A31" s="19" t="s">
        <v>46</v>
      </c>
      <c r="B31" s="20" t="s">
        <v>22</v>
      </c>
      <c r="C31" s="21" t="n">
        <f aca="false">C20-C27</f>
        <v>400</v>
      </c>
      <c r="D31" s="21" t="n">
        <f aca="false">D20-D27</f>
        <v>-6750</v>
      </c>
      <c r="E31" s="21" t="n">
        <f aca="false">E20-E27</f>
        <v>400</v>
      </c>
      <c r="F31" s="21" t="n">
        <f aca="false">F20-F27</f>
        <v>400</v>
      </c>
      <c r="G31" s="21" t="n">
        <f aca="false">G20-G27</f>
        <v>400</v>
      </c>
      <c r="H31" s="21" t="n">
        <f aca="false">H20-H27</f>
        <v>400</v>
      </c>
      <c r="I31" s="21" t="n">
        <f aca="false">I20-I27</f>
        <v>4600</v>
      </c>
      <c r="J31" s="21" t="n">
        <f aca="false">J20-J27</f>
        <v>4650</v>
      </c>
      <c r="K31" s="21" t="n">
        <f aca="false">K20-K27</f>
        <v>4750</v>
      </c>
      <c r="L31" s="21" t="n">
        <f aca="false">L20-L27</f>
        <v>4790</v>
      </c>
      <c r="M31" s="21" t="n">
        <f aca="false">M20-M27</f>
        <v>5950</v>
      </c>
      <c r="N31" s="21" t="n">
        <f aca="false">N20-N27</f>
        <v>7150</v>
      </c>
      <c r="O31" s="22" t="n">
        <f aca="false">SUM(C31:N31)</f>
        <v>27140</v>
      </c>
    </row>
    <row r="32" customFormat="false" ht="15" hidden="false" customHeight="false" outlineLevel="0" collapsed="false">
      <c r="A32" s="19" t="s">
        <v>47</v>
      </c>
      <c r="B32" s="20" t="s">
        <v>30</v>
      </c>
      <c r="C32" s="21" t="n">
        <f aca="false">C31</f>
        <v>400</v>
      </c>
      <c r="D32" s="21" t="n">
        <f aca="false">C32+D31</f>
        <v>-6350</v>
      </c>
      <c r="E32" s="21" t="n">
        <f aca="false">D32+E31</f>
        <v>-5950</v>
      </c>
      <c r="F32" s="21" t="n">
        <f aca="false">E32+F31</f>
        <v>-5550</v>
      </c>
      <c r="G32" s="21" t="n">
        <f aca="false">F32+G31</f>
        <v>-5150</v>
      </c>
      <c r="H32" s="21" t="n">
        <f aca="false">G32+H31</f>
        <v>-4750</v>
      </c>
      <c r="I32" s="21" t="n">
        <f aca="false">H32+I31</f>
        <v>-150</v>
      </c>
      <c r="J32" s="21" t="n">
        <f aca="false">I32+J31</f>
        <v>4500</v>
      </c>
      <c r="K32" s="21" t="n">
        <f aca="false">J32+K31</f>
        <v>9250</v>
      </c>
      <c r="L32" s="21" t="n">
        <f aca="false">K32+L31</f>
        <v>14040</v>
      </c>
      <c r="M32" s="21" t="n">
        <f aca="false">L32+M31</f>
        <v>19990</v>
      </c>
      <c r="N32" s="21" t="n">
        <f aca="false">M32+N31</f>
        <v>27140</v>
      </c>
      <c r="O32" s="22" t="n">
        <f aca="false">N32</f>
        <v>27140</v>
      </c>
    </row>
  </sheetData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20"/>
    <col collapsed="false" customWidth="true" hidden="false" outlineLevel="0" max="4" min="4" style="0" width="30"/>
  </cols>
  <sheetData>
    <row r="1" customFormat="false" ht="21.6" hidden="false" customHeight="false" outlineLevel="0" collapsed="false">
      <c r="A1" s="1" t="s">
        <v>48</v>
      </c>
      <c r="B1" s="1"/>
      <c r="C1" s="1"/>
      <c r="D1" s="1"/>
    </row>
    <row r="2" customFormat="false" ht="15" hidden="false" customHeight="false" outlineLevel="0" collapsed="false">
      <c r="A2" s="2" t="s">
        <v>49</v>
      </c>
      <c r="B2" s="2"/>
      <c r="C2" s="2"/>
      <c r="D2" s="2"/>
    </row>
    <row r="4" customFormat="false" ht="15" hidden="false" customHeight="false" outlineLevel="0" collapsed="false">
      <c r="A4" s="3" t="s">
        <v>50</v>
      </c>
      <c r="B4" s="5" t="s">
        <v>51</v>
      </c>
      <c r="C4" s="5" t="s">
        <v>52</v>
      </c>
      <c r="D4" s="4" t="s">
        <v>53</v>
      </c>
    </row>
    <row r="5" customFormat="false" ht="15" hidden="false" customHeight="false" outlineLevel="0" collapsed="false">
      <c r="A5" s="19" t="s">
        <v>54</v>
      </c>
      <c r="B5" s="25" t="n">
        <f aca="false">Projections!O20</f>
        <v>42450</v>
      </c>
      <c r="C5" s="25" t="n">
        <f aca="false">B5*Projections!$C$5</f>
        <v>4902975</v>
      </c>
      <c r="D5" s="26" t="s">
        <v>55</v>
      </c>
    </row>
    <row r="6" customFormat="false" ht="15" hidden="false" customHeight="false" outlineLevel="0" collapsed="false">
      <c r="A6" s="11" t="s">
        <v>56</v>
      </c>
      <c r="B6" s="25" t="n">
        <f aca="false">Projections!O27</f>
        <v>15310</v>
      </c>
      <c r="C6" s="25" t="n">
        <f aca="false">B6*Projections!$C$5</f>
        <v>1768305</v>
      </c>
      <c r="D6" s="7"/>
    </row>
    <row r="7" customFormat="false" ht="15" hidden="false" customHeight="false" outlineLevel="0" collapsed="false">
      <c r="A7" s="19" t="s">
        <v>57</v>
      </c>
      <c r="B7" s="25" t="n">
        <f aca="false">Projections!O31</f>
        <v>27140</v>
      </c>
      <c r="C7" s="25" t="n">
        <f aca="false">B7*Projections!$C$5</f>
        <v>3134670</v>
      </c>
      <c r="D7" s="26" t="s">
        <v>58</v>
      </c>
    </row>
    <row r="8" customFormat="false" ht="15" hidden="false" customHeight="false" outlineLevel="0" collapsed="false">
      <c r="A8" s="11" t="s">
        <v>59</v>
      </c>
      <c r="B8" s="27" t="n">
        <f aca="false">Projections!N30</f>
        <v>0.869318181818182</v>
      </c>
      <c r="C8" s="27"/>
      <c r="D8" s="7"/>
    </row>
    <row r="9" customFormat="false" ht="15" hidden="false" customHeight="false" outlineLevel="0" collapsed="false">
      <c r="A9" s="11" t="s">
        <v>60</v>
      </c>
      <c r="B9" s="25" t="n">
        <f aca="false">Projections!N20</f>
        <v>8800</v>
      </c>
      <c r="C9" s="25" t="n">
        <f aca="false">B9*Projections!$C$5</f>
        <v>1016400</v>
      </c>
      <c r="D9" s="7"/>
    </row>
    <row r="10" customFormat="false" ht="15" hidden="false" customHeight="false" outlineLevel="0" collapsed="false">
      <c r="A10" s="11" t="s">
        <v>61</v>
      </c>
      <c r="B10" s="28" t="n">
        <f aca="false">Projections!N7</f>
        <v>500</v>
      </c>
      <c r="C10" s="28"/>
      <c r="D10" s="7"/>
    </row>
    <row r="12" customFormat="false" ht="15" hidden="false" customHeight="false" outlineLevel="0" collapsed="false">
      <c r="A12" s="3" t="s">
        <v>62</v>
      </c>
      <c r="B12" s="4" t="s">
        <v>63</v>
      </c>
      <c r="C12" s="5" t="s">
        <v>64</v>
      </c>
      <c r="D12" s="4" t="s">
        <v>65</v>
      </c>
    </row>
    <row r="13" customFormat="false" ht="15" hidden="false" customHeight="false" outlineLevel="0" collapsed="false">
      <c r="A13" s="11" t="s">
        <v>66</v>
      </c>
      <c r="B13" s="18" t="n">
        <v>3000</v>
      </c>
      <c r="C13" s="18" t="n">
        <f aca="false">B13*Projections!$C$5</f>
        <v>346500</v>
      </c>
      <c r="D13" s="26" t="s">
        <v>67</v>
      </c>
    </row>
    <row r="14" customFormat="false" ht="15" hidden="false" customHeight="false" outlineLevel="0" collapsed="false">
      <c r="A14" s="11" t="s">
        <v>68</v>
      </c>
      <c r="B14" s="18" t="n">
        <f aca="false">B6</f>
        <v>15310</v>
      </c>
      <c r="C14" s="18" t="n">
        <f aca="false">C6</f>
        <v>1768305</v>
      </c>
      <c r="D14" s="26" t="s">
        <v>69</v>
      </c>
    </row>
    <row r="15" customFormat="false" ht="15" hidden="false" customHeight="false" outlineLevel="0" collapsed="false">
      <c r="A15" s="11" t="s">
        <v>70</v>
      </c>
      <c r="B15" s="18" t="n">
        <v>200000</v>
      </c>
      <c r="C15" s="18" t="n">
        <f aca="false">B15*Projections!$C$5</f>
        <v>23100000</v>
      </c>
      <c r="D15" s="26" t="s">
        <v>71</v>
      </c>
    </row>
    <row r="17" customFormat="false" ht="15" hidden="false" customHeight="false" outlineLevel="0" collapsed="false">
      <c r="A17" s="3" t="s">
        <v>72</v>
      </c>
      <c r="B17" s="4" t="s">
        <v>73</v>
      </c>
      <c r="C17" s="5" t="s">
        <v>64</v>
      </c>
      <c r="D17" s="4" t="s">
        <v>74</v>
      </c>
    </row>
    <row r="18" customFormat="false" ht="15" hidden="false" customHeight="false" outlineLevel="0" collapsed="false">
      <c r="A18" s="11" t="s">
        <v>75</v>
      </c>
      <c r="B18" s="29" t="n">
        <v>2000</v>
      </c>
      <c r="C18" s="29"/>
      <c r="D18" s="26" t="s">
        <v>76</v>
      </c>
    </row>
    <row r="19" customFormat="false" ht="15" hidden="false" customHeight="false" outlineLevel="0" collapsed="false">
      <c r="A19" s="11" t="s">
        <v>77</v>
      </c>
      <c r="B19" s="18" t="n">
        <v>630000</v>
      </c>
      <c r="C19" s="18" t="n">
        <f aca="false">B19*Projections!$C$5</f>
        <v>72765000</v>
      </c>
      <c r="D19" s="26" t="s">
        <v>78</v>
      </c>
    </row>
    <row r="21" customFormat="false" ht="15" hidden="false" customHeight="false" outlineLevel="0" collapsed="false">
      <c r="A21" s="3" t="s">
        <v>79</v>
      </c>
      <c r="B21" s="4" t="s">
        <v>73</v>
      </c>
      <c r="C21" s="4"/>
      <c r="D21" s="4"/>
    </row>
    <row r="22" customFormat="false" ht="15" hidden="false" customHeight="false" outlineLevel="0" collapsed="false">
      <c r="A22" s="6" t="s">
        <v>80</v>
      </c>
      <c r="B22" s="30" t="s">
        <v>81</v>
      </c>
      <c r="C22" s="7"/>
      <c r="D22" s="7"/>
    </row>
    <row r="23" customFormat="false" ht="15" hidden="false" customHeight="false" outlineLevel="0" collapsed="false">
      <c r="A23" s="6" t="s">
        <v>82</v>
      </c>
      <c r="B23" s="30" t="s">
        <v>83</v>
      </c>
      <c r="C23" s="7"/>
      <c r="D23" s="7"/>
    </row>
    <row r="24" customFormat="false" ht="15" hidden="false" customHeight="false" outlineLevel="0" collapsed="false">
      <c r="A24" s="6" t="s">
        <v>84</v>
      </c>
      <c r="B24" s="30" t="s">
        <v>85</v>
      </c>
      <c r="C24" s="7"/>
      <c r="D24" s="7"/>
    </row>
    <row r="25" customFormat="false" ht="15" hidden="false" customHeight="false" outlineLevel="0" collapsed="false">
      <c r="A25" s="6" t="s">
        <v>86</v>
      </c>
      <c r="B25" s="30" t="s">
        <v>87</v>
      </c>
      <c r="C25" s="7"/>
      <c r="D25" s="7"/>
    </row>
    <row r="26" customFormat="false" ht="15" hidden="false" customHeight="false" outlineLevel="0" collapsed="false">
      <c r="A26" s="6" t="s">
        <v>88</v>
      </c>
      <c r="B26" s="30" t="s">
        <v>89</v>
      </c>
      <c r="C26" s="7"/>
      <c r="D26" s="7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2026-06-02T18:45:23Z</dcterms:created>
  <dc:creator>openpyxl</dc:creator>
  <dc:description/>
  <dc:language>en-US</dc:language>
  <cp:lastModifiedBy/>
  <dcterms:modified xsi:type="dcterms:W3CDTF">2026-06-02T18:45:24Z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